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70324b613a44f1" /></Relationships>
</file>

<file path=xl/workbook.xml><?xml version="1.0" encoding="utf-8"?>
<x:workbook xmlns:x="http://schemas.openxmlformats.org/spreadsheetml/2006/main">
  <x:sheets>
    <x:sheet xmlns:r="http://schemas.openxmlformats.org/officeDocument/2006/relationships" name="入力" sheetId="1" r:id="R9c160141b19440ef"/>
    <x:sheet xmlns:r="http://schemas.openxmlformats.org/officeDocument/2006/relationships" name="計算" sheetId="2" r:id="R17b71815353d4636"/>
    <x:sheet xmlns:r="http://schemas.openxmlformats.org/officeDocument/2006/relationships" name="使い方・根拠" sheetId="3" r:id="R52dafe2e10c44dfc"/>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
    <x:numFmt numFmtId="202" formatCode="h:mm"/>
    <x:numFmt numFmtId="203" formatCode="0"/>
    <x:numFmt numFmtId="204" formatCode="0%"/>
  </x:numFmts>
  <x:fonts count="10">
    <x:font>
      <x:sz val="11"/>
      <x:name val="Carlito"/>
    </x:font>
    <x:font>
      <x:b/>
      <x:sz val="18"/>
      <x:color rgb="FFFFFFFF"/>
      <x:name val="Carlito"/>
    </x:font>
    <x:font>
      <x:sz val="10"/>
      <x:color rgb="FF274C5E"/>
      <x:name val="Carlito"/>
    </x:font>
    <x:font>
      <x:b/>
      <x:sz val="12"/>
      <x:color rgb="FFFFFFFF"/>
      <x:name val="Carlito"/>
    </x:font>
    <x:font>
      <x:sz val="10"/>
      <x:color rgb="FF7A2E2A"/>
      <x:name val="Carlito"/>
    </x:font>
    <x:font>
      <x:b/>
      <x:sz val="11"/>
      <x:color rgb="FF274C5E"/>
      <x:name val="Carlito"/>
    </x:font>
    <x:font>
      <x:b/>
      <x:sz val="11"/>
      <x:color rgb="FFFFFFFF"/>
      <x:name val="Carlito"/>
    </x:font>
    <x:font>
      <x:b/>
      <x:sz val="12"/>
      <x:color rgb="FF274C5E"/>
      <x:name val="Carlito"/>
    </x:font>
    <x:font>
      <x:b/>
      <x:sz val="11"/>
      <x:color rgb="FF245A32"/>
      <x:name val="Carlito"/>
    </x:font>
    <x:font>
      <x:sz val="10"/>
      <x:color rgb="FF624E12"/>
      <x:name val="Carlito"/>
    </x:font>
  </x:fonts>
  <x:fills count="8">
    <x:fill>
      <x:patternFill patternType="none"/>
    </x:fill>
    <x:fill>
      <x:patternFill patternType="gray125"/>
    </x:fill>
    <x:fill>
      <x:patternFill patternType="solid">
        <x:fgColor rgb="FF274C5E"/>
      </x:patternFill>
    </x:fill>
    <x:fill>
      <x:patternFill patternType="solid">
        <x:fgColor rgb="FFEDF5FA"/>
      </x:patternFill>
    </x:fill>
    <x:fill>
      <x:patternFill patternType="solid">
        <x:fgColor rgb="FF3B7A75"/>
      </x:patternFill>
    </x:fill>
    <x:fill>
      <x:patternFill patternType="solid">
        <x:fgColor rgb="FFFCE8E6"/>
      </x:patternFill>
    </x:fill>
    <x:fill>
      <x:patternFill patternType="solid">
        <x:fgColor rgb="FFFFF4CC"/>
      </x:patternFill>
    </x:fill>
    <x:fill>
      <x:patternFill patternType="solid">
        <x:fgColor rgb="FFE9F5EC"/>
      </x:patternFill>
    </x:fill>
  </x:fills>
  <x:borders count="13">
    <x:border/>
    <x:border>
      <x:right style="thin">
        <x:color rgb="FFE5E9EC"/>
      </x:right>
      <x:bottom style="thin">
        <x:color rgb="FFE5E9EC"/>
      </x:bottom>
    </x:border>
    <x:border>
      <x:left style="thin">
        <x:color rgb="FFE5E9EC"/>
      </x:left>
      <x:right style="thin">
        <x:color rgb="FFE5E9EC"/>
      </x:right>
      <x:bottom style="thin">
        <x:color rgb="FFE5E9EC"/>
      </x:bottom>
    </x:border>
    <x:border>
      <x:left style="thin">
        <x:color rgb="FFE5E9EC"/>
      </x:left>
      <x:bottom style="thin">
        <x:color rgb="FFE5E9EC"/>
      </x:bottom>
    </x:border>
    <x:border>
      <x:right style="thin">
        <x:color rgb="FFE5E9EC"/>
      </x:right>
      <x:top style="thin">
        <x:color rgb="FFE5E9EC"/>
      </x:top>
      <x:bottom style="thin">
        <x:color rgb="FFE5E9EC"/>
      </x:bottom>
    </x:border>
    <x:border>
      <x:left style="thin">
        <x:color rgb="FFE5E9EC"/>
      </x:left>
      <x:right style="thin">
        <x:color rgb="FFE5E9EC"/>
      </x:right>
      <x:top style="thin">
        <x:color rgb="FFE5E9EC"/>
      </x:top>
      <x:bottom style="thin">
        <x:color rgb="FFE5E9EC"/>
      </x:bottom>
    </x:border>
    <x:border>
      <x:left style="thin">
        <x:color rgb="FFE5E9EC"/>
      </x:left>
      <x:top style="thin">
        <x:color rgb="FFE5E9EC"/>
      </x:top>
      <x:bottom style="thin">
        <x:color rgb="FFE5E9EC"/>
      </x:bottom>
    </x:border>
    <x:border>
      <x:right style="thin">
        <x:color rgb="FFE5E9EC"/>
      </x:right>
      <x:top style="thin">
        <x:color rgb="FFE5E9EC"/>
      </x:top>
    </x:border>
    <x:border>
      <x:left style="thin">
        <x:color rgb="FFE5E9EC"/>
      </x:left>
      <x:right style="thin">
        <x:color rgb="FFE5E9EC"/>
      </x:right>
      <x:top style="thin">
        <x:color rgb="FFE5E9EC"/>
      </x:top>
    </x:border>
    <x:border>
      <x:left style="thin">
        <x:color rgb="FFE5E9EC"/>
      </x:left>
      <x:top style="thin">
        <x:color rgb="FFE5E9EC"/>
      </x:top>
    </x:border>
    <x:border>
      <x:left style="medium">
        <x:color rgb="FF3B7A75"/>
      </x:left>
      <x:top style="medium">
        <x:color rgb="FF3B7A75"/>
      </x:top>
      <x:bottom style="medium">
        <x:color rgb="FF3B7A75"/>
      </x:bottom>
    </x:border>
    <x:border>
      <x:top style="medium">
        <x:color rgb="FF3B7A75"/>
      </x:top>
      <x:bottom style="medium">
        <x:color rgb="FF3B7A75"/>
      </x:bottom>
    </x:border>
    <x:border>
      <x:right style="medium">
        <x:color rgb="FF3B7A75"/>
      </x:right>
      <x:top style="medium">
        <x:color rgb="FF3B7A75"/>
      </x:top>
      <x:bottom style="medium">
        <x:color rgb="FF3B7A75"/>
      </x:bottom>
    </x:border>
  </x:borders>
  <x:cellStyleXfs count="1">
    <x:xf numFmtId="0" fontId="0" fillId="0" borderId="0"/>
  </x:cellStyleXfs>
  <x:cellXfs count="1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2"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3" borderId="1" xfId="0" applyNumberFormat="1" applyFont="1" applyFill="1" applyBorder="1"/>
    <x:xf numFmtId="0" fontId="0" fillId="3" borderId="2" xfId="0" applyNumberFormat="1" applyFont="1" applyFill="1" applyBorder="1"/>
    <x:xf numFmtId="0" fontId="0" fillId="3" borderId="3" xfId="0" applyNumberFormat="1" applyFont="1" applyFill="1" applyBorder="1"/>
    <x:xf numFmtId="0" fontId="5" fillId="3" borderId="1"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0" fillId="6" borderId="5" xfId="0" applyNumberFormat="1" applyFont="1" applyFill="1" applyBorder="1"/>
    <x:xf numFmtId="0" fontId="0" fillId="6" borderId="8" xfId="0" applyNumberFormat="1" applyFont="1" applyFill="1" applyBorder="1"/>
    <x:xf numFmtId="200" fontId="0" fillId="6" borderId="5" xfId="0" applyNumberFormat="1" applyFont="1" applyFill="1" applyBorder="1"/>
    <x:xf numFmtId="201" fontId="0" fillId="6" borderId="8" xfId="0" applyNumberFormat="1" applyFont="1" applyFill="1" applyBorder="1"/>
    <x:xf numFmtId="202" fontId="0" fillId="6" borderId="5" xfId="0" applyNumberFormat="1" applyFont="1" applyFill="1" applyBorder="1"/>
    <x:xf numFmtId="203" fontId="0" fillId="6" borderId="5" xfId="0" applyNumberFormat="1" applyFont="1" applyFill="1" applyBorder="1"/>
    <x:xf numFmtId="201" fontId="0" fillId="6" borderId="5" xfId="0" applyNumberFormat="1" applyFont="1" applyFill="1" applyBorder="1"/>
    <x:xf numFmtId="200" fontId="0" fillId="6" borderId="8" xfId="0" applyNumberFormat="1" applyFont="1" applyFill="1" applyBorder="1"/>
    <x:xf numFmtId="0" fontId="5" fillId="3" borderId="1" xfId="0" applyNumberFormat="1" applyFont="1" applyFill="1" applyBorder="1" applyAlignment="1">
      <x:alignment vertical="center"/>
    </x:xf>
    <x:xf numFmtId="0" fontId="5" fillId="3" borderId="2" xfId="0" applyNumberFormat="1" applyFont="1" applyFill="1" applyBorder="1" applyAlignment="1">
      <x:alignment vertical="center"/>
    </x:xf>
    <x:xf numFmtId="0" fontId="5" fillId="3" borderId="3" xfId="0" applyNumberFormat="1" applyFont="1" applyFill="1" applyBorder="1" applyAlignment="1">
      <x:alignment vertical="center"/>
    </x:xf>
    <x:xf numFmtId="0" fontId="0" fillId="0" borderId="4" xfId="0" applyNumberFormat="1" applyFont="1" applyFill="1" applyBorder="1" applyAlignment="1">
      <x:alignment vertical="center"/>
    </x:xf>
    <x:xf numFmtId="200" fontId="0" fillId="6" borderId="5"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201" fontId="0" fillId="6" borderId="8" xfId="0" applyNumberFormat="1" applyFont="1" applyFill="1" applyBorder="1" applyAlignment="1">
      <x:alignment vertical="center"/>
    </x:xf>
    <x:xf numFmtId="0" fontId="0" fillId="0" borderId="8" xfId="0" applyNumberFormat="1" applyFont="1" applyFill="1" applyBorder="1" applyAlignment="1">
      <x:alignment vertical="center"/>
    </x:xf>
    <x:xf numFmtId="0" fontId="0" fillId="0" borderId="9" xfId="0" applyNumberFormat="1" applyFont="1" applyFill="1" applyBorder="1" applyAlignment="1">
      <x:alignment vertical="center"/>
    </x:xf>
    <x:xf numFmtId="0" fontId="0" fillId="0" borderId="0" xfId="0" applyNumberFormat="1" applyFont="1" applyFill="1" applyBorder="1" applyAlignment="1">
      <x:alignment vertical="center"/>
    </x:xf>
    <x:xf numFmtId="0" fontId="3" fillId="4" borderId="0" xfId="0" applyNumberFormat="1" applyFont="1" applyFill="1" applyBorder="1" applyAlignment="1">
      <x:alignment vertical="center"/>
    </x:xf>
    <x:xf numFmtId="202" fontId="0" fillId="6" borderId="5" xfId="0" applyNumberFormat="1" applyFont="1" applyFill="1" applyBorder="1" applyAlignment="1">
      <x:alignment vertical="center"/>
    </x:xf>
    <x:xf numFmtId="203" fontId="0" fillId="6" borderId="5" xfId="0" applyNumberFormat="1" applyFont="1" applyFill="1" applyBorder="1" applyAlignment="1">
      <x:alignment vertical="center"/>
    </x:xf>
    <x:xf numFmtId="0" fontId="0" fillId="6" borderId="5" xfId="0" applyNumberFormat="1" applyFont="1" applyFill="1" applyBorder="1" applyAlignment="1">
      <x:alignment vertical="center"/>
    </x:xf>
    <x:xf numFmtId="201" fontId="0" fillId="6" borderId="5" xfId="0" applyNumberFormat="1" applyFont="1" applyFill="1" applyBorder="1" applyAlignment="1">
      <x:alignment vertical="center"/>
    </x:xf>
    <x:xf numFmtId="200" fontId="0" fillId="6" borderId="8"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0" fontId="5" fillId="3" borderId="3"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5" fillId="3" borderId="1"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6" fillId="4" borderId="0" xfId="0" applyNumberFormat="1" applyFont="1" applyFill="1" applyBorder="1"/>
    <x:xf numFmtId="0" fontId="7" fillId="3" borderId="0" xfId="0" applyNumberFormat="1" applyFont="1" applyFill="1" applyBorder="1"/>
    <x:xf numFmtId="0" fontId="7" fillId="3" borderId="10" xfId="0" applyNumberFormat="1" applyFont="1" applyFill="1" applyBorder="1"/>
    <x:xf numFmtId="0" fontId="7" fillId="3" borderId="11" xfId="0" applyNumberFormat="1" applyFont="1" applyFill="1" applyBorder="1"/>
    <x:xf numFmtId="0" fontId="7" fillId="3" borderId="12" xfId="0" applyNumberFormat="1" applyFont="1" applyFill="1" applyBorder="1"/>
    <x:xf numFmtId="200" fontId="7" fillId="3" borderId="12" xfId="0" applyNumberFormat="1" applyFont="1" applyFill="1" applyBorder="1"/>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0" fillId="6"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wrapText="1"/>
    </x:xf>
    <x:xf numFmtId="0" fontId="9" fillId="6" borderId="0" xfId="0" applyNumberFormat="1" applyFont="1" applyFill="1" applyBorder="1" applyAlignment="1">
      <x:alignment vertical="top" wrapText="1"/>
    </x:xf>
    <x:xf numFmtId="0" fontId="6" fillId="4" borderId="1" xfId="0" applyNumberFormat="1" applyFont="1" applyFill="1" applyBorder="1"/>
    <x:xf numFmtId="0" fontId="6" fillId="4" borderId="2" xfId="0" applyNumberFormat="1" applyFont="1" applyFill="1" applyBorder="1"/>
    <x:xf numFmtId="0" fontId="6" fillId="4" borderId="3" xfId="0" applyNumberFormat="1" applyFont="1" applyFill="1" applyBorder="1"/>
    <x:xf numFmtId="200" fontId="0" fillId="0" borderId="5" xfId="0" applyNumberFormat="1" applyFont="1" applyFill="1" applyBorder="1"/>
    <x:xf numFmtId="201" fontId="0" fillId="0" borderId="5" xfId="0" applyNumberFormat="1" applyFont="1" applyFill="1" applyBorder="1"/>
    <x:xf numFmtId="200" fontId="0" fillId="0" borderId="8" xfId="0" applyNumberFormat="1" applyFont="1" applyFill="1" applyBorder="1"/>
    <x:xf numFmtId="201" fontId="0" fillId="0" borderId="8" xfId="0" applyNumberFormat="1" applyFont="1" applyFill="1" applyBorder="1"/>
    <x:xf numFmtId="204" fontId="0" fillId="0" borderId="5" xfId="0" applyNumberFormat="1" applyFont="1" applyFill="1" applyBorder="1"/>
    <x:xf numFmtId="204" fontId="0" fillId="0" borderId="8" xfId="0" applyNumberFormat="1" applyFont="1" applyFill="1" applyBorder="1"/>
    <x:xf numFmtId="200" fontId="0" fillId="0" borderId="6" xfId="0" applyNumberFormat="1" applyFont="1" applyFill="1" applyBorder="1"/>
    <x:xf numFmtId="200" fontId="0" fillId="0" borderId="9" xfId="0" applyNumberFormat="1" applyFont="1" applyFill="1" applyBorder="1"/>
    <x:xf numFmtId="0" fontId="5" fillId="0" borderId="4" xfId="0" applyNumberFormat="1" applyFont="1" applyFill="1" applyBorder="1"/>
    <x:xf numFmtId="0" fontId="5" fillId="0" borderId="7" xfId="0" applyNumberFormat="1" applyFont="1" applyFill="1" applyBorder="1"/>
    <x:xf numFmtId="0" fontId="5" fillId="3" borderId="4" xfId="0" applyNumberFormat="1" applyFont="1" applyFill="1" applyBorder="1"/>
    <x:xf numFmtId="200" fontId="0" fillId="3" borderId="5" xfId="0" applyNumberFormat="1" applyFont="1" applyFill="1" applyBorder="1"/>
    <x:xf numFmtId="0" fontId="0" fillId="3" borderId="5" xfId="0" applyNumberFormat="1" applyFont="1" applyFill="1" applyBorder="1"/>
    <x:xf numFmtId="0" fontId="0" fillId="3" borderId="6" xfId="0" applyNumberFormat="1" applyFont="1" applyFill="1" applyBorder="1"/>
    <x:xf numFmtId="0" fontId="5" fillId="3" borderId="7" xfId="0" applyNumberFormat="1" applyFont="1" applyFill="1" applyBorder="1"/>
    <x:xf numFmtId="200" fontId="0" fillId="3" borderId="8" xfId="0" applyNumberFormat="1" applyFont="1" applyFill="1" applyBorder="1"/>
    <x:xf numFmtId="0" fontId="0" fillId="3" borderId="8" xfId="0" applyNumberFormat="1" applyFont="1" applyFill="1" applyBorder="1"/>
    <x:xf numFmtId="0" fontId="0" fillId="3" borderId="9" xfId="0" applyNumberFormat="1" applyFont="1" applyFill="1" applyBorder="1"/>
    <x:xf numFmtId="0" fontId="6" fillId="4" borderId="1" xfId="0" applyNumberFormat="1" applyFont="1" applyFill="1" applyBorder="1" applyAlignment="1">
      <x:alignment vertical="center"/>
    </x:xf>
    <x:xf numFmtId="0" fontId="6" fillId="4" borderId="2" xfId="0" applyNumberFormat="1" applyFont="1" applyFill="1" applyBorder="1" applyAlignment="1">
      <x:alignment vertical="center"/>
    </x:xf>
    <x:xf numFmtId="0" fontId="6" fillId="4" borderId="3" xfId="0" applyNumberFormat="1" applyFont="1" applyFill="1" applyBorder="1" applyAlignment="1">
      <x:alignment vertical="center"/>
    </x:xf>
    <x:xf numFmtId="0" fontId="5" fillId="0" borderId="4" xfId="0" applyNumberFormat="1" applyFont="1" applyFill="1" applyBorder="1" applyAlignment="1">
      <x:alignment vertical="center"/>
    </x:xf>
    <x:xf numFmtId="200" fontId="0" fillId="0" borderId="5" xfId="0" applyNumberFormat="1" applyFont="1" applyFill="1" applyBorder="1" applyAlignment="1">
      <x:alignment vertical="center"/>
    </x:xf>
    <x:xf numFmtId="201" fontId="0" fillId="0" borderId="5" xfId="0" applyNumberFormat="1" applyFont="1" applyFill="1" applyBorder="1" applyAlignment="1">
      <x:alignment vertical="center"/>
    </x:xf>
    <x:xf numFmtId="0" fontId="5" fillId="3" borderId="4" xfId="0" applyNumberFormat="1" applyFont="1" applyFill="1" applyBorder="1" applyAlignment="1">
      <x:alignment vertical="center"/>
    </x:xf>
    <x:xf numFmtId="200" fontId="0" fillId="3" borderId="5" xfId="0" applyNumberFormat="1" applyFont="1" applyFill="1" applyBorder="1" applyAlignment="1">
      <x:alignment vertical="center"/>
    </x:xf>
    <x:xf numFmtId="0" fontId="0" fillId="3" borderId="5" xfId="0" applyNumberFormat="1" applyFont="1" applyFill="1" applyBorder="1" applyAlignment="1">
      <x:alignment vertical="center"/>
    </x:xf>
    <x:xf numFmtId="0" fontId="0" fillId="3" borderId="6" xfId="0" applyNumberFormat="1" applyFont="1" applyFill="1" applyBorder="1" applyAlignment="1">
      <x:alignment vertical="center"/>
    </x:xf>
    <x:xf numFmtId="0" fontId="5" fillId="3" borderId="7" xfId="0" applyNumberFormat="1" applyFont="1" applyFill="1" applyBorder="1" applyAlignment="1">
      <x:alignment vertical="center"/>
    </x:xf>
    <x:xf numFmtId="200" fontId="0" fillId="3" borderId="8" xfId="0" applyNumberFormat="1" applyFont="1" applyFill="1" applyBorder="1" applyAlignment="1">
      <x:alignment vertical="center"/>
    </x:xf>
    <x:xf numFmtId="0" fontId="0" fillId="3" borderId="8" xfId="0" applyNumberFormat="1" applyFont="1" applyFill="1" applyBorder="1" applyAlignment="1">
      <x:alignment vertical="center"/>
    </x:xf>
    <x:xf numFmtId="0" fontId="0" fillId="3" borderId="9" xfId="0" applyNumberFormat="1" applyFont="1" applyFill="1" applyBorder="1" applyAlignment="1">
      <x:alignment vertical="center"/>
    </x:xf>
    <x:xf numFmtId="0" fontId="7" fillId="3" borderId="10" xfId="0" applyNumberFormat="1" applyFont="1" applyFill="1" applyBorder="1" applyAlignment="1">
      <x:alignment vertical="center"/>
    </x:xf>
    <x:xf numFmtId="0" fontId="7" fillId="3" borderId="11" xfId="0" applyNumberFormat="1" applyFont="1" applyFill="1" applyBorder="1" applyAlignment="1">
      <x:alignment vertical="center"/>
    </x:xf>
    <x:xf numFmtId="200" fontId="7" fillId="3" borderId="12" xfId="0" applyNumberFormat="1" applyFont="1" applyFill="1" applyBorder="1" applyAlignment="1">
      <x:alignment vertical="center"/>
    </x:xf>
    <x:xf numFmtId="0" fontId="8" fillId="7" borderId="0" xfId="0" applyNumberFormat="1" applyFont="1" applyFill="1" applyBorder="1" applyAlignment="1">
      <x:alignment vertical="center" wrapText="1"/>
    </x:xf>
    <x:xf numFmtId="0" fontId="9" fillId="6" borderId="0" xfId="0" applyNumberFormat="1" applyFont="1" applyFill="1" applyBorder="1" applyAlignment="1">
      <x:alignment vertical="center" wrapText="1"/>
    </x:xf>
    <x:xf numFmtId="204" fontId="0" fillId="0" borderId="5" xfId="0" applyNumberFormat="1" applyFont="1" applyFill="1" applyBorder="1" applyAlignment="1">
      <x:alignment vertical="center"/>
    </x:xf>
    <x:xf numFmtId="200" fontId="0" fillId="0" borderId="6" xfId="0" applyNumberFormat="1" applyFont="1" applyFill="1" applyBorder="1" applyAlignment="1">
      <x:alignment vertical="center"/>
    </x:xf>
    <x:xf numFmtId="201" fontId="0" fillId="0" borderId="8" xfId="0" applyNumberFormat="1" applyFont="1" applyFill="1" applyBorder="1" applyAlignment="1">
      <x:alignment vertical="center"/>
    </x:xf>
    <x:xf numFmtId="204" fontId="0" fillId="0" borderId="8" xfId="0" applyNumberFormat="1" applyFont="1" applyFill="1" applyBorder="1" applyAlignment="1">
      <x:alignment vertical="center"/>
    </x:xf>
    <x:xf numFmtId="200" fontId="0" fillId="0" borderId="9" xfId="0" applyNumberFormat="1" applyFont="1" applyFill="1" applyBorder="1" applyAlignment="1">
      <x:alignment vertical="center"/>
    </x:xf>
    <x:xf numFmtId="0" fontId="0" fillId="0" borderId="5" xfId="0" applyNumberFormat="1" applyFont="1" applyFill="1" applyBorder="1" applyAlignment="1">
      <x:alignment vertical="center" wrapText="1"/>
    </x:xf>
    <x:xf numFmtId="0" fontId="0" fillId="3" borderId="5" xfId="0" applyNumberFormat="1" applyFont="1" applyFill="1" applyBorder="1" applyAlignment="1">
      <x:alignment vertical="center" wrapText="1"/>
    </x:xf>
    <x:xf numFmtId="0" fontId="0" fillId="3" borderId="8" xfId="0" applyNumberFormat="1" applyFont="1" applyFill="1" applyBorder="1" applyAlignment="1">
      <x:alignment vertical="center"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7" xfId="0" applyNumberFormat="1" applyFont="1" applyFill="1" applyBorder="1" applyAlignment="1">
      <x:alignment wrapText="1"/>
    </x:xf>
    <x:xf numFmtId="0" fontId="0" fillId="6" borderId="1" xfId="0" applyNumberFormat="1" applyFont="1" applyFill="1" applyBorder="1"/>
    <x:xf numFmtId="0" fontId="0" fillId="7" borderId="4" xfId="0" applyNumberFormat="1" applyFont="1" applyFill="1" applyBorder="1"/>
    <x:xf numFmtId="0" fontId="0" fillId="5" borderId="7" xfId="0" applyNumberFormat="1" applyFont="1" applyFill="1" applyBorder="1"/>
  </x:cellXfs>
  <x:cellStyles count="1">
    <x:cellStyle name="Normal" xfId="0"/>
  </x:cellStyles>
  <x:dxfs count="2">
    <x:dxf>
      <x:font>
        <x:b/>
        <x:color rgb="FF8C1D18"/>
      </x:font>
      <x:fill>
        <x:patternFill patternType="solid">
          <x:bgColor rgb="FFF6C7C3"/>
        </x:patternFill>
      </x:fill>
    </x:dxf>
    <x:dxf>
      <x:font>
        <x:b/>
        <x:color rgb="FF245A32"/>
      </x:font>
      <x:fill>
        <x:patternFill patternType="solid">
          <x:bgColor rgb="FFCFE8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b6d843213045c1" /><Relationship Type="http://schemas.openxmlformats.org/officeDocument/2006/relationships/theme" Target="/xl/theme/theme1.xml" Id="R8d563579c14245bf" /><Relationship Type="http://schemas.openxmlformats.org/officeDocument/2006/relationships/sharedStrings" Target="/xl/sharedStrings.xml" Id="R66ac8ff2aed94b47" /><Relationship Type="http://schemas.openxmlformats.org/officeDocument/2006/relationships/worksheet" Target="/xl/worksheets/sheet1.xml" Id="R9c160141b19440ef" /><Relationship Type="http://schemas.openxmlformats.org/officeDocument/2006/relationships/worksheet" Target="/xl/worksheets/sheet2.xml" Id="R17b71815353d4636" /><Relationship Type="http://schemas.openxmlformats.org/officeDocument/2006/relationships/worksheet" Target="/xl/worksheets/sheet3.xml" Id="R52dafe2e10c44df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1" hidden="0" customWidth="1"/>
    <x:col min="4" max="4" width="58" hidden="0" customWidth="1"/>
  </x:cols>
  <x:sheetData>
    <x:row r="1" ht="36" customHeight="1">
      <x:c r="A1" s="3" t="str">
        <x:v>夜勤手当の法定割増額 かんたん計算</x:v>
      </x:c>
      <x:c r="B1" s="3"/>
      <x:c r="C1" s="3"/>
      <x:c r="D1" s="3"/>
    </x:row>
    <x:row r="2" ht="32" customHeight="1">
      <x:c r="A2" s="6" t="str">
        <x:v>黄色のセルを入力すると、法定の深夜・時間外・休日割増の概算を表示します。初期値は例です。</x:v>
      </x:c>
      <x:c r="B2" s="6"/>
      <x:c r="C2" s="6"/>
      <x:c r="D2" s="6"/>
    </x:row>
    <x:row r="4">
      <x:c r="A4" s="8" t="str">
        <x:v>1. 給与</x:v>
      </x:c>
      <x:c r="B4" s="8" t="str"/>
      <x:c r="C4" s="8" t="str"/>
      <x:c r="D4" s="8" t="str"/>
    </x:row>
    <x:row r="5">
      <x:c r="A5" s="62" t="str">
        <x:v>項目</x:v>
      </x:c>
      <x:c r="B5" s="38" t="str">
        <x:v>入力</x:v>
      </x:c>
      <x:c r="C5" s="38" t="str">
        <x:v>単位</x:v>
      </x:c>
      <x:c r="D5" s="57" t="str">
        <x:v>補足</x:v>
      </x:c>
    </x:row>
    <x:row r="6" ht="31" customHeight="1">
      <x:c r="A6" s="63" t="str">
        <x:v>基本給（月額）</x:v>
      </x:c>
      <x:c r="B6" s="41" t="n">
        <x:v>260000</x:v>
      </x:c>
      <x:c r="C6" s="42" t="str">
        <x:v>円</x:v>
      </x:c>
      <x:c r="D6" s="58" t="str">
        <x:v>月給制の例</x:v>
      </x:c>
    </x:row>
    <x:row r="7" ht="31" customHeight="1">
      <x:c r="A7" s="63" t="str">
        <x:v>算定基礎に含める固定手当（月額）</x:v>
      </x:c>
      <x:c r="B7" s="41" t="n">
        <x:v>20000</x:v>
      </x:c>
      <x:c r="C7" s="42" t="str">
        <x:v>円</x:v>
      </x:c>
      <x:c r="D7" s="58" t="str">
        <x:v>職務・資格・調整手当など。除外可否は名称でなく実態で判断</x:v>
      </x:c>
    </x:row>
    <x:row r="8" ht="31" customHeight="1">
      <x:c r="A8" s="64" t="str">
        <x:v>1か月平均所定労働時間</x:v>
      </x:c>
      <x:c r="B8" s="45" t="n">
        <x:v>160</x:v>
      </x:c>
      <x:c r="C8" s="46" t="str">
        <x:v>時間</x:v>
      </x:c>
      <x:c r="D8" s="59" t="str">
        <x:v>就業規則・労働条件通知書などで確認</x:v>
      </x:c>
    </x:row>
    <x:row r="9" ht="31" customHeight="1">
      <x:c r="A9" s="60"/>
      <x:c r="B9" s="48"/>
      <x:c r="C9" s="48"/>
      <x:c r="D9" s="60"/>
    </x:row>
    <x:row r="10" ht="31" customHeight="1">
      <x:c r="A10" s="61" t="str">
        <x:v>2. 1回の夜勤</x:v>
      </x:c>
      <x:c r="B10" s="49" t="str"/>
      <x:c r="C10" s="49" t="str"/>
      <x:c r="D10" s="61" t="str"/>
    </x:row>
    <x:row r="11" ht="31" customHeight="1">
      <x:c r="A11" s="62" t="str">
        <x:v>項目</x:v>
      </x:c>
      <x:c r="B11" s="38" t="str">
        <x:v>入力</x:v>
      </x:c>
      <x:c r="C11" s="38" t="str">
        <x:v>単位</x:v>
      </x:c>
      <x:c r="D11" s="57" t="str">
        <x:v>補足</x:v>
      </x:c>
    </x:row>
    <x:row r="12" ht="31" customHeight="1">
      <x:c r="A12" s="63" t="str">
        <x:v>開始時刻</x:v>
      </x:c>
      <x:c r="B12" s="50" t="n">
        <x:v>0.6875</x:v>
      </x:c>
      <x:c r="C12" s="42" t="str">
        <x:v>時刻</x:v>
      </x:c>
      <x:c r="D12" s="58" t="str">
        <x:v>例：16:30</x:v>
      </x:c>
    </x:row>
    <x:row r="13" ht="31" customHeight="1">
      <x:c r="A13" s="63" t="str">
        <x:v>終了時刻</x:v>
      </x:c>
      <x:c r="B13" s="50" t="n">
        <x:v>0.375</x:v>
      </x:c>
      <x:c r="C13" s="42" t="str">
        <x:v>時刻</x:v>
      </x:c>
      <x:c r="D13" s="58" t="str">
        <x:v>翌日の場合も時刻だけ入力</x:v>
      </x:c>
    </x:row>
    <x:row r="14" ht="31" customHeight="1">
      <x:c r="A14" s="63" t="str">
        <x:v>自由に利用できる休憩時間</x:v>
      </x:c>
      <x:c r="B14" s="51" t="n">
        <x:v>120</x:v>
      </x:c>
      <x:c r="C14" s="42" t="str">
        <x:v>分</x:v>
      </x:c>
      <x:c r="D14" s="58" t="str">
        <x:v>呼出対応が必要な仮眠・手待時間は除かない可能性あり</x:v>
      </x:c>
    </x:row>
    <x:row r="15" ht="31" customHeight="1">
      <x:c r="A15" s="63" t="str">
        <x:v>うち22時〜翌5時に重なる休憩</x:v>
      </x:c>
      <x:c r="B15" s="51" t="n">
        <x:v>120</x:v>
      </x:c>
      <x:c r="C15" s="42" t="str">
        <x:v>分</x:v>
      </x:c>
      <x:c r="D15" s="58" t="str">
        <x:v>上の休憩時間の内数</x:v>
      </x:c>
    </x:row>
    <x:row r="16" ht="31" customHeight="1">
      <x:c r="A16" s="63" t="str">
        <x:v>法定休日の勤務</x:v>
      </x:c>
      <x:c r="B16" s="52" t="str">
        <x:v>いいえ</x:v>
      </x:c>
      <x:c r="C16" s="42" t="str">
        <x:v>選択</x:v>
      </x:c>
      <x:c r="D16" s="58" t="str">
        <x:v>病院の休日ではなく、労基法上の法定休日かを確認</x:v>
      </x:c>
    </x:row>
    <x:row r="17" ht="31" customHeight="1">
      <x:c r="A17" s="63" t="str">
        <x:v>この夜勤の法定時間外労働</x:v>
      </x:c>
      <x:c r="B17" s="53" t="n">
        <x:v>0</x:v>
      </x:c>
      <x:c r="C17" s="42" t="str">
        <x:v>時間</x:v>
      </x:c>
      <x:c r="D17" s="58" t="str">
        <x:v>変形労働時間制では拘束時間だけで自動判定できないため勤務先資料で確認</x:v>
      </x:c>
    </x:row>
    <x:row r="18" ht="31" customHeight="1">
      <x:c r="A18" s="63" t="str">
        <x:v>うち月60時間を超えた部分</x:v>
      </x:c>
      <x:c r="B18" s="53" t="n">
        <x:v>0</x:v>
      </x:c>
      <x:c r="C18" s="42" t="str">
        <x:v>時間</x:v>
      </x:c>
      <x:c r="D18" s="58" t="str">
        <x:v>上の法定時間外労働の内数</x:v>
      </x:c>
    </x:row>
    <x:row r="19" ht="31" customHeight="1">
      <x:c r="A19" s="63" t="str">
        <x:v>実際の夜勤手当（1回）</x:v>
      </x:c>
      <x:c r="B19" s="41" t="n">
        <x:v>15000</x:v>
      </x:c>
      <x:c r="C19" s="42" t="str">
        <x:v>円</x:v>
      </x:c>
      <x:c r="D19" s="58" t="str">
        <x:v>求人票・給与明細の金額</x:v>
      </x:c>
    </x:row>
    <x:row r="20" ht="31" customHeight="1">
      <x:c r="A20" s="64" t="str">
        <x:v>別途支給された時間外・休日手当</x:v>
      </x:c>
      <x:c r="B20" s="54" t="n">
        <x:v>0</x:v>
      </x:c>
      <x:c r="C20" s="46" t="str">
        <x:v>円</x:v>
      </x:c>
      <x:c r="D20" s="59" t="str">
        <x:v>夜勤手当とは別に支払われた分</x:v>
      </x:c>
    </x:row>
    <x:row r="21">
      <x:c r="A21" s="48"/>
      <x:c r="B21" s="48"/>
      <x:c r="C21" s="48"/>
      <x:c r="D21" s="48"/>
    </x:row>
    <x:row r="22">
      <x:c r="A22" s="55" t="str">
        <x:v>3. 判定に関する重要事項</x:v>
      </x:c>
      <x:c r="B22" s="55" t="str"/>
      <x:c r="C22" s="55" t="str"/>
      <x:c r="D22" s="55" t="str"/>
    </x:row>
    <x:row r="23">
      <x:c r="A23" s="56" t="str">
        <x:v>このシートは概算用です。特に、変形労働時間制、休憩・仮眠の実態、法定休日の指定、固定手当の算定基礎への算入、夜勤手当に含まれる賃金項目によって結果が変わります。金額が不足して見える場合も、直ちに違法と断定せず、就業規則・労働条件通知書・給与明細の内訳を確認してください。</x:v>
      </x:c>
      <x:c r="B23" s="56"/>
      <x:c r="C23" s="56"/>
      <x:c r="D23" s="56"/>
    </x:row>
    <x:row r="24">
      <x:c r="A24" s="56"/>
      <x:c r="B24" s="56"/>
      <x:c r="C24" s="56"/>
      <x:c r="D24" s="56"/>
    </x:row>
    <x:row r="25">
      <x:c r="A25" s="56"/>
      <x:c r="B25" s="56"/>
      <x:c r="C25" s="56"/>
      <x:c r="D25" s="56"/>
    </x:row>
    <x:row r="26">
      <x:c r="A26" s="56"/>
      <x:c r="B26" s="56"/>
      <x:c r="C26" s="56"/>
      <x:c r="D26" s="56"/>
    </x:row>
  </x:sheetData>
  <x:mergeCells>
    <x:mergeCell ref="A1:D1"/>
    <x:mergeCell ref="A2:D2"/>
    <x:mergeCell ref="A4:D4"/>
    <x:mergeCell ref="A10:D10"/>
    <x:mergeCell ref="A22:D22"/>
    <x:mergeCell ref="A23:D26"/>
  </x:mergeCells>
  <x:dataValidations count="1">
    <x:dataValidation type="list" sqref="B16">
      <x:formula1>"いいえ,はい"</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6" hidden="0" customWidth="1"/>
    <x:col min="2" max="2" width="20" hidden="0" customWidth="1"/>
    <x:col min="3" max="3" width="53" hidden="0" customWidth="1"/>
    <x:col min="4" max="4" width="23" hidden="0" customWidth="1"/>
  </x:cols>
  <x:sheetData>
    <x:row r="1" ht="36" customHeight="1">
      <x:c r="A1" s="2" t="str">
        <x:v>計算結果</x:v>
      </x:c>
      <x:c r="B1" s="2"/>
      <x:c r="C1" s="2"/>
      <x:c r="D1" s="2"/>
    </x:row>
    <x:row r="3">
      <x:c r="A3" s="99" t="str">
        <x:v>結果</x:v>
      </x:c>
      <x:c r="B3" s="100" t="str">
        <x:v>金額・時間</x:v>
      </x:c>
      <x:c r="C3" s="100" t="str">
        <x:v>意味</x:v>
      </x:c>
      <x:c r="D3" s="101" t="str">
        <x:v>確認</x:v>
      </x:c>
    </x:row>
    <x:row r="4">
      <x:c r="A4" s="102" t="str">
        <x:v>基礎時給</x:v>
      </x:c>
      <x:c r="B4" s="103" t="n">
        <x:f>('入力'!B6+'入力'!B7)/'入力'!B8</x:f>
        <x:v>1750</x:v>
      </x:c>
      <x:c r="C4" s="123" t="str">
        <x:v>割増賃金を計算する1時間当たりの賃金</x:v>
      </x:c>
      <x:c r="D4" s="43" t="str">
        <x:f>IF(B4&gt;0,"OK","要確認")</x:f>
        <x:v>OK</x:v>
      </x:c>
    </x:row>
    <x:row r="5">
      <x:c r="A5" s="102" t="str">
        <x:v>実労働時間</x:v>
      </x:c>
      <x:c r="B5" s="104" t="n">
        <x:f>MAX(0,MOD('入力'!B13-'入力'!B12,1)*24-'入力'!B14/60)</x:f>
        <x:v>14.5</x:v>
      </x:c>
      <x:c r="C5" s="123" t="str">
        <x:v>拘束時間から自由利用できる休憩を控除</x:v>
      </x:c>
      <x:c r="D5" s="43" t="str">
        <x:f>IF(AND(B5&gt;=0,B5&lt;=24),"OK","入力確認")</x:f>
        <x:v>OK</x:v>
      </x:c>
    </x:row>
    <x:row r="6">
      <x:c r="A6" s="102" t="str">
        <x:v>深夜実労働時間</x:v>
      </x:c>
      <x:c r="B6" s="104" t="n">
        <x:f>MAX(0,MAX(0,MIN(IF('入力'!B13&lt;='入力'!B12,'入力'!B13+1,'入力'!B13)*24,5)-MAX('入力'!B12*24,0))+MAX(0,MIN(IF('入力'!B13&lt;='入力'!B12,'入力'!B13+1,'入力'!B13)*24,29)-MAX('入力'!B12*24,22))-'入力'!B15/60)</x:f>
        <x:v>5</x:v>
      </x:c>
      <x:c r="C6" s="123" t="str">
        <x:v>22時〜翌5時の実労働時間</x:v>
      </x:c>
      <x:c r="D6" s="43" t="str">
        <x:f>IF(AND(B6&gt;=0,B6&lt;=B5),"OK","休憩時間を確認")</x:f>
        <x:v>OK</x:v>
      </x:c>
    </x:row>
    <x:row r="7">
      <x:c r="A7" s="102" t="str">
        <x:v>深夜割増（25%部分）</x:v>
      </x:c>
      <x:c r="B7" s="103" t="n">
        <x:f>B4*25%*B6</x:f>
        <x:v>2187.5</x:v>
      </x:c>
      <x:c r="C7" s="123" t="str">
        <x:v>所定・時間外・休日を問わず深夜部分へ加算</x:v>
      </x:c>
      <x:c r="D7" s="43" t="str">
        <x:f>""</x:f>
      </x:c>
    </x:row>
    <x:row r="8">
      <x:c r="A8" s="102" t="str">
        <x:v>時間外賃金（60時間以内）</x:v>
      </x:c>
      <x:c r="B8" s="103" t="n">
        <x:f>IF('入力'!B16="はい",0,B4*125%*MAX(0,'入力'!B17-'入力'!B18))</x:f>
        <x:v>0</x:v>
      </x:c>
      <x:c r="C8" s="123" t="str">
        <x:v>基礎時給×125%（月60時間以内）</x:v>
      </x:c>
      <x:c r="D8" s="43" t="str">
        <x:f>IF('入力'!B17-'入力'!B18&lt;=B5,"","時間外時間を確認")</x:f>
      </x:c>
    </x:row>
    <x:row r="9">
      <x:c r="A9" s="102" t="str">
        <x:v>時間外賃金（60時間超）</x:v>
      </x:c>
      <x:c r="B9" s="103" t="n">
        <x:f>IF('入力'!B16="はい",0,B4*150%*MAX(0,'入力'!B18))</x:f>
        <x:v>0</x:v>
      </x:c>
      <x:c r="C9" s="123" t="str">
        <x:v>基礎時給×150%（月60時間超）</x:v>
      </x:c>
      <x:c r="D9" s="43" t="str">
        <x:f>IF('入力'!B18&lt;='入力'!B17,"","60時間超の内数を確認")</x:f>
      </x:c>
    </x:row>
    <x:row r="10">
      <x:c r="A10" s="102" t="str">
        <x:v>法定休日賃金</x:v>
      </x:c>
      <x:c r="B10" s="103" t="n">
        <x:f>IF('入力'!B16="はい",B4*135%*B5,0)</x:f>
        <x:v>0</x:v>
      </x:c>
      <x:c r="C10" s="123" t="str">
        <x:v>基礎時給×135%（法定休日）</x:v>
      </x:c>
      <x:c r="D10" s="43" t="str">
        <x:f>""</x:f>
      </x:c>
    </x:row>
    <x:row r="11">
      <x:c r="A11" s="105" t="str">
        <x:v>法定上必要と考えられる追加支給額</x:v>
      </x:c>
      <x:c r="B11" s="106" t="n">
        <x:f>SUM(B7:B10)</x:f>
        <x:v>2187.5</x:v>
      </x:c>
      <x:c r="C11" s="124" t="str">
        <x:v>月給とは別に必要となる賃金の概算</x:v>
      </x:c>
      <x:c r="D11" s="108" t="str">
        <x:f>""</x:f>
      </x:c>
    </x:row>
    <x:row r="12">
      <x:c r="A12" s="109" t="str">
        <x:v>実際の追加支給額</x:v>
      </x:c>
      <x:c r="B12" s="110" t="n">
        <x:f>'入力'!B19+'入力'!B20</x:f>
        <x:v>15000</x:v>
      </x:c>
      <x:c r="C12" s="125" t="str">
        <x:v>夜勤手当＋別途支給された時間外・休日手当</x:v>
      </x:c>
      <x:c r="D12" s="112" t="str">
        <x:f>""</x:f>
      </x:c>
    </x:row>
    <x:row r="13">
      <x:c r="A13" s="48"/>
      <x:c r="B13" s="48"/>
      <x:c r="C13" s="48"/>
      <x:c r="D13" s="48"/>
    </x:row>
    <x:row r="14">
      <x:c r="A14" s="113" t="str">
        <x:v>差額（実際の追加支給額 − 法定額の概算）</x:v>
      </x:c>
      <x:c r="B14" s="114"/>
      <x:c r="C14" s="114"/>
      <x:c r="D14" s="115" t="n">
        <x:f>B12-B11</x:f>
        <x:v>12812.5</x:v>
      </x:c>
    </x:row>
    <x:row r="15">
      <x:c r="A15" s="48"/>
      <x:c r="B15" s="48"/>
      <x:c r="C15" s="48"/>
      <x:c r="D15" s="48"/>
    </x:row>
    <x:row r="16" ht="44" customHeight="1">
      <x:c r="A16" s="116" t="str">
        <x:f>IF(OR(D4="要確認",D5="入力確認",D6="休憩時間を確認",D8&lt;&gt;"",D9&lt;&gt;""),"入力内容に確認が必要です。",IF(D14&gt;=0,"入力上は、実際の追加支給額が法定額の概算以上です。病院独自の上乗せ額が含まれる可能性があります。","入力上は、実際の追加支給額が法定額の概算を下回っています。内訳や労働時間制度を確認してください。"))</x:f>
        <x:v>入力上は、実際の追加支給額が法定額の概算以上です。病院独自の上乗せ額が含まれる可能性があります。</x:v>
      </x:c>
      <x:c r="B16" s="116"/>
      <x:c r="C16" s="116"/>
      <x:c r="D16" s="116"/>
    </x:row>
    <x:row r="17">
      <x:c r="A17" s="48"/>
      <x:c r="B17" s="48"/>
      <x:c r="C17" s="48"/>
      <x:c r="D17" s="48"/>
    </x:row>
    <x:row r="18">
      <x:c r="A18" s="117" t="str">
        <x:v>読み方：深夜割増は「夜勤全体」ではなく原則22時〜翌5時の実労働時間が対象です。月給に含まれる所定労働時間の通常賃金100%は、追加支給額へ重ねていません。一方、入力した法定時間外・法定休日の時間には、月給とは別に必要となる125%・150%・135%の賃金を計上しています。これらが夜勤手当以外の欄で支払われている場合は「別途支給された時間外・休日手当」へ入力してください。</x:v>
      </x:c>
      <x:c r="B18" s="117"/>
      <x:c r="C18" s="117"/>
      <x:c r="D18" s="117"/>
    </x:row>
    <x:row r="19">
      <x:c r="A19" s="117"/>
      <x:c r="B19" s="117"/>
      <x:c r="C19" s="117"/>
      <x:c r="D19" s="117"/>
    </x:row>
    <x:row r="20">
      <x:c r="A20" s="117"/>
      <x:c r="B20" s="117"/>
      <x:c r="C20" s="117"/>
      <x:c r="D20" s="117"/>
    </x:row>
    <x:row r="21">
      <x:c r="A21" s="117"/>
      <x:c r="B21" s="117"/>
      <x:c r="C21" s="117"/>
      <x:c r="D21" s="117"/>
    </x:row>
    <x:row r="22">
      <x:c r="A22" s="48"/>
      <x:c r="B22" s="48"/>
      <x:c r="C22" s="48"/>
      <x:c r="D22" s="48"/>
    </x:row>
    <x:row r="23">
      <x:c r="A23" s="99" t="str">
        <x:v>内訳</x:v>
      </x:c>
      <x:c r="B23" s="100" t="str">
        <x:v>時間</x:v>
      </x:c>
      <x:c r="C23" s="100" t="str">
        <x:v>割増率</x:v>
      </x:c>
      <x:c r="D23" s="101" t="str">
        <x:v>概算額</x:v>
      </x:c>
    </x:row>
    <x:row r="24">
      <x:c r="A24" s="40" t="str">
        <x:v>深夜</x:v>
      </x:c>
      <x:c r="B24" s="104" t="n">
        <x:f>B6</x:f>
        <x:v>5</x:v>
      </x:c>
      <x:c r="C24" s="118" t="n">
        <x:v>0.25</x:v>
      </x:c>
      <x:c r="D24" s="119" t="n">
        <x:f>B7</x:f>
        <x:v>2187.5</x:v>
      </x:c>
    </x:row>
    <x:row r="25">
      <x:c r="A25" s="40" t="str">
        <x:v>時間外（60時間以内）</x:v>
      </x:c>
      <x:c r="B25" s="104" t="n">
        <x:f>IF('入力'!B16="はい",0,MAX(0,'入力'!B17-'入力'!B18))</x:f>
        <x:v>0</x:v>
      </x:c>
      <x:c r="C25" s="118" t="n">
        <x:v>1.25</x:v>
      </x:c>
      <x:c r="D25" s="119" t="n">
        <x:f>B8</x:f>
        <x:v>0</x:v>
      </x:c>
    </x:row>
    <x:row r="26">
      <x:c r="A26" s="40" t="str">
        <x:v>時間外（60時間超）</x:v>
      </x:c>
      <x:c r="B26" s="104" t="n">
        <x:f>IF('入力'!B16="はい",0,MAX(0,'入力'!B18))</x:f>
        <x:v>0</x:v>
      </x:c>
      <x:c r="C26" s="118" t="n">
        <x:v>1.5</x:v>
      </x:c>
      <x:c r="D26" s="119" t="n">
        <x:f>B9</x:f>
        <x:v>0</x:v>
      </x:c>
    </x:row>
    <x:row r="27">
      <x:c r="A27" s="44" t="str">
        <x:v>法定休日</x:v>
      </x:c>
      <x:c r="B27" s="120" t="n">
        <x:f>IF('入力'!B16="はい",B5,0)</x:f>
        <x:v>0</x:v>
      </x:c>
      <x:c r="C27" s="121" t="n">
        <x:v>1.35</x:v>
      </x:c>
      <x:c r="D27" s="122" t="n">
        <x:f>B10</x:f>
        <x:v>0</x:v>
      </x:c>
    </x:row>
  </x:sheetData>
  <x:mergeCells>
    <x:mergeCell ref="A1:D1"/>
    <x:mergeCell ref="A14:C14"/>
    <x:mergeCell ref="A16:D16"/>
    <x:mergeCell ref="A18:D21"/>
  </x:mergeCells>
  <x:conditionalFormatting sqref="D14:D14">
    <x:cfRule type="cellIs" dxfId="0" priority="1" operator="lessThan">
      <x:formula>0</x:formula>
    </x:cfRule>
    <x:cfRule type="cellIs" dxfId="1" priority="2" operator="greaterThanOrEqual">
      <x:formula>0</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43" hidden="0" customWidth="1"/>
    <x:col min="3" max="3" width="52" hidden="0" customWidth="1"/>
    <x:col min="4" max="4" width="56" hidden="0" customWidth="1"/>
  </x:cols>
  <x:sheetData>
    <x:row r="1" ht="36" customHeight="1">
      <x:c r="A1" s="2" t="str">
        <x:v>使い方・計算根拠</x:v>
      </x:c>
      <x:c r="B1" s="2"/>
      <x:c r="C1" s="2"/>
      <x:c r="D1" s="2"/>
    </x:row>
    <x:row r="3">
      <x:c r="A3" s="78" t="str">
        <x:v>確認項目</x:v>
      </x:c>
      <x:c r="B3" s="79" t="str">
        <x:v>このシートでの扱い</x:v>
      </x:c>
      <x:c r="C3" s="79" t="str">
        <x:v>注意点</x:v>
      </x:c>
      <x:c r="D3" s="80" t="str">
        <x:v>出典</x:v>
      </x:c>
    </x:row>
    <x:row r="4" ht="48" customHeight="1">
      <x:c r="A4" s="132" t="str">
        <x:v>深夜労働</x:v>
      </x:c>
      <x:c r="B4" s="127" t="str">
        <x:v>原則22時〜翌5時の実労働時間に25%を加算</x:v>
      </x:c>
      <x:c r="C4" s="127" t="str">
        <x:v>夜勤の全拘束時間が25%増しになるわけではありません</x:v>
      </x:c>
      <x:c r="D4" s="128" t="str">
        <x:v>https://laws.e-gov.go.jp/document?lawid=322AC0000000049</x:v>
      </x:c>
    </x:row>
    <x:row r="5" ht="48" customHeight="1">
      <x:c r="A5" s="132" t="str">
        <x:v>法定時間外</x:v>
      </x:c>
      <x:c r="B5" s="127" t="str">
        <x:v>60時間以内は125%、60時間超は150%</x:v>
      </x:c>
      <x:c r="C5" s="127" t="str">
        <x:v>変形労働時間制では、1日8時間を超えただけで時間外とは限りません</x:v>
      </x:c>
      <x:c r="D5" s="128" t="str">
        <x:v>https://www.check-roudou.mhlw.go.jp/qa/roudousya/chingin/q3.html</x:v>
      </x:c>
    </x:row>
    <x:row r="6" ht="48" customHeight="1">
      <x:c r="A6" s="132" t="str">
        <x:v>法定休日</x:v>
      </x:c>
      <x:c r="B6" s="127" t="str">
        <x:v>135%。深夜と重なる時間はさらに25%を加算</x:v>
      </x:c>
      <x:c r="C6" s="127" t="str">
        <x:v>所定休日と法定休日は同じとは限りません</x:v>
      </x:c>
      <x:c r="D6" s="128" t="str">
        <x:v>https://www.check-roudou.mhlw.go.jp/qa/roudousya/chingin/q3.html</x:v>
      </x:c>
    </x:row>
    <x:row r="7" ht="48" customHeight="1">
      <x:c r="A7" s="132" t="str">
        <x:v>基礎時給</x:v>
      </x:c>
      <x:c r="B7" s="127" t="str">
        <x:v>算定対象月給÷1か月平均所定労働時間</x:v>
      </x:c>
      <x:c r="C7" s="127" t="str">
        <x:v>基本給だけでなく一部の固定手当も算入。除外手当は名称でなく実態で判断</x:v>
      </x:c>
      <x:c r="D7" s="128" t="str">
        <x:v>https://www.check-roudou.mhlw.go.jp/qa/roudousya/chingin/q3.html</x:v>
      </x:c>
    </x:row>
    <x:row r="8" ht="48" customHeight="1">
      <x:c r="A8" s="132" t="str">
        <x:v>休憩・仮眠</x:v>
      </x:c>
      <x:c r="B8" s="127" t="str">
        <x:v>自由に利用できる時間だけを実労働時間から控除</x:v>
      </x:c>
      <x:c r="C8" s="127" t="str">
        <x:v>呼出対応や監視義務がある仮眠は労働時間となる可能性があります</x:v>
      </x:c>
      <x:c r="D8" s="128" t="str">
        <x:v>https://www.mhlw.go.jp/</x:v>
      </x:c>
    </x:row>
    <x:row r="9" ht="48" customHeight="1">
      <x:c r="A9" s="132" t="str">
        <x:v>端数</x:v>
      </x:c>
      <x:c r="B9" s="127" t="str">
        <x:v>シート内は小数のまま概算</x:v>
      </x:c>
      <x:c r="C9" s="127" t="str">
        <x:v>実際の給与計算では認められる端数処理があります。1日ごとの一律切捨ては不可</x:v>
      </x:c>
      <x:c r="D9" s="128" t="str">
        <x:v>https://www.check-roudou.mhlw.go.jp/qa/roudousya/chingin/q3.html</x:v>
      </x:c>
    </x:row>
    <x:row r="10" ht="48" customHeight="1">
      <x:c r="A10" s="132" t="str">
        <x:v>夜勤手当との比較</x:v>
      </x:c>
      <x:c r="B10" s="127" t="str">
        <x:v>夜勤手当と別途支給分の合計を法定額の概算と比較</x:v>
      </x:c>
      <x:c r="C10" s="127" t="str">
        <x:v>給与明細で深夜・時間外・休日手当が別欄なら、必ず別途支給額へ入力</x:v>
      </x:c>
      <x:c r="D10" s="128" t="str">
        <x:v>Smart Nurse Lab 試作</x:v>
      </x:c>
    </x:row>
    <x:row r="11" ht="48" customHeight="1">
      <x:c r="A11" s="133" t="str">
        <x:v>判定</x:v>
      </x:c>
      <x:c r="B11" s="130" t="str">
        <x:v>不足の可能性を示す参考値</x:v>
      </x:c>
      <x:c r="C11" s="130" t="str">
        <x:v>このシートだけで違法・適法を確定するものではありません</x:v>
      </x:c>
      <x:c r="D11" s="131" t="str">
        <x:v>2026-06-25時点</x:v>
      </x:c>
    </x:row>
    <x:row r="13">
      <x:c r="A13" s="65" t="str">
        <x:v>色</x:v>
      </x:c>
      <x:c r="B13" s="65" t="str">
        <x:v>意味</x:v>
      </x:c>
      <x:c r="C13" s="65" t="str"/>
      <x:c r="D13" s="65" t="str"/>
    </x:row>
    <x:row r="14">
      <x:c r="A14" s="134" t="str">
        <x:v>黄色</x:v>
      </x:c>
      <x:c r="B14" s="16" t="str">
        <x:v>利用者が入力するセル</x:v>
      </x:c>
    </x:row>
    <x:row r="15">
      <x:c r="A15" s="135" t="str">
        <x:v>緑</x:v>
      </x:c>
      <x:c r="B15" s="19" t="str">
        <x:v>入力上は概算額以上</x:v>
      </x:c>
    </x:row>
    <x:row r="16">
      <x:c r="A16" s="136" t="str">
        <x:v>赤</x:v>
      </x:c>
      <x:c r="B16" s="22" t="str">
        <x:v>入力確認または不足の可能性</x:v>
      </x:c>
    </x:row>
  </x:sheetData>
  <x:mergeCells>
    <x:mergeCell ref="A1:D1"/>
    <x:mergeCell ref="B13:D13"/>
  </x:mergeCells>
  <x:pageMargins left="0.7" right="0.7" top="0.75" bottom="0.75" header="0.3" footer="0.3"/>
</x:worksheet>
</file>